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<sst xmlns="http://schemas.openxmlformats.org/spreadsheetml/2006/main" count="34" uniqueCount="19">
  <si>
    <t xml:space="preserve">Row</t>
  </si>
  <si>
    <t xml:space="preserve">AddrDec</t>
  </si>
  <si>
    <t xml:space="preserve">Addr</t>
  </si>
  <si>
    <t xml:space="preserve">Count</t>
  </si>
  <si>
    <t xml:space="preserve">Inc</t>
  </si>
  <si>
    <t xml:space="preserve">Val</t>
  </si>
  <si>
    <t xml:space="preserve">Notes</t>
  </si>
  <si>
    <t xml:space="preserve">                        ; -------   ------  ---  ---  ---  ---------------------</t>
  </si>
  <si>
    <t xml:space="preserve">Top side</t>
  </si>
  <si>
    <t xml:space="preserve">Bottom side 1</t>
  </si>
  <si>
    <t xml:space="preserve">Bottom side 2</t>
  </si>
  <si>
    <t xml:space="preserve"> 6</t>
  </si>
  <si>
    <t xml:space="preserve">Left side</t>
  </si>
  <si>
    <t xml:space="preserve">Right side</t>
  </si>
  <si>
    <t xml:space="preserve">Top left corner</t>
  </si>
  <si>
    <t xml:space="preserve">Bottom left corner</t>
  </si>
  <si>
    <t xml:space="preserve">Bottom right corner 1</t>
  </si>
  <si>
    <t xml:space="preserve">Bottom right corner 2</t>
  </si>
  <si>
    <t xml:space="preserve">Top right corner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</si>
</sst>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ourier New"/>
      <family val="3"/>
      <charset val="1"/>
    </font>
    <font>
      <b val="true"/>
      <sz val="10"/>
      <name val="Arial"/>
      <family val="2"/>
    </font>
    <font>
      <b val="true"/>
      <sz val="10"/>
      <name val="Courier New"/>
      <family val="3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0" sqref="H:H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6" min="2" style="1" width="11.53"/>
    <col collapsed="false" customWidth="true" hidden="false" outlineLevel="0" max="7" min="7" style="2" width="18.54"/>
    <col collapsed="false" customWidth="true" hidden="false" outlineLevel="0" max="8" min="8" style="3" width="90.61"/>
  </cols>
  <sheetData>
    <row r="1" customFormat="false" ht="12.8" hidden="false" customHeight="false" outlineLevel="0" collapsed="false">
      <c r="A1" s="0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tr">
        <f aca="false">"                        ; Address    Count  Inc  Val  Row  Notes"</f>
        <v>                        ; Address    Count  Inc  Val  Row  Notes</v>
      </c>
    </row>
    <row r="2" customFormat="false" ht="12.8" hidden="false" customHeight="false" outlineLevel="0" collapsed="false">
      <c r="B2" s="4"/>
      <c r="C2" s="4"/>
      <c r="D2" s="4"/>
      <c r="E2" s="4"/>
      <c r="F2" s="4"/>
      <c r="G2" s="5"/>
      <c r="H2" s="7" t="s">
        <v>7</v>
      </c>
    </row>
    <row r="3" customFormat="false" ht="12.8" hidden="false" customHeight="false" outlineLevel="0" collapsed="false">
      <c r="A3" s="0" t="n">
        <v>0</v>
      </c>
      <c r="B3" s="1" t="n">
        <v>20235</v>
      </c>
      <c r="C3" s="1" t="str">
        <f aca="false">DEC2HEX(B3,4)</f>
        <v>4F0B</v>
      </c>
      <c r="D3" s="1" t="n">
        <v>10</v>
      </c>
      <c r="E3" s="1" t="n">
        <v>1</v>
      </c>
      <c r="F3" s="1" t="n">
        <v>255</v>
      </c>
      <c r="G3" s="2" t="s">
        <v>8</v>
      </c>
      <c r="H3" s="3" t="str">
        <f aca="false">"                        DW  $"&amp;C3&amp;" : DB $"&amp;DEC2HEX(D3,2)&amp;", $"&amp;DEC2HEX(E3, 2) &amp; ", $"&amp;DEC2HEX(F3,2) &amp; " ; " &amp; RIGHT("     "&amp;A3,2) &amp; "  " &amp; G3</f>
        <v>                        DW  $4F0B : DB $0A, $01, $FF ;  0  Top side</v>
      </c>
    </row>
    <row r="4" customFormat="false" ht="12.8" hidden="false" customHeight="false" outlineLevel="0" collapsed="false">
      <c r="A4" s="0" t="n">
        <f aca="false">A3+1</f>
        <v>1</v>
      </c>
      <c r="B4" s="1" t="n">
        <v>18667</v>
      </c>
      <c r="C4" s="1" t="str">
        <f aca="false">DEC2HEX(B4,4)</f>
        <v>48EB</v>
      </c>
      <c r="D4" s="1" t="n">
        <v>10</v>
      </c>
      <c r="E4" s="1" t="n">
        <v>1</v>
      </c>
      <c r="F4" s="1" t="n">
        <v>255</v>
      </c>
      <c r="G4" s="2" t="s">
        <v>9</v>
      </c>
      <c r="H4" s="3" t="str">
        <f aca="false">"                        DW  $"&amp;C4&amp;" : DB $"&amp;DEC2HEX(D4,2)&amp;", $"&amp;DEC2HEX(E4, 2) &amp; ", $"&amp;DEC2HEX(F4,2) &amp; " ; " &amp; RIGHT("     "&amp;A4,2) &amp; "  " &amp; G4</f>
        <v>                        DW  $48EB : DB $0A, $01, $FF ;  1  Bottom side 1</v>
      </c>
    </row>
    <row r="5" customFormat="false" ht="12.8" hidden="false" customHeight="false" outlineLevel="0" collapsed="false">
      <c r="A5" s="0" t="n">
        <f aca="false">A4+1</f>
        <v>2</v>
      </c>
      <c r="B5" s="1" t="n">
        <v>18923</v>
      </c>
      <c r="C5" s="1" t="str">
        <f aca="false">DEC2HEX(B5,4)</f>
        <v>49EB</v>
      </c>
      <c r="D5" s="1" t="n">
        <v>10</v>
      </c>
      <c r="E5" s="1" t="n">
        <v>1</v>
      </c>
      <c r="F5" s="1" t="n">
        <v>255</v>
      </c>
      <c r="G5" s="2" t="s">
        <v>10</v>
      </c>
      <c r="H5" s="3" t="str">
        <f aca="false">"                        DW  $"&amp;C5&amp;" : DB $"&amp;DEC2HEX(D5,2)&amp;", $"&amp;DEC2HEX(E5, 2) &amp; ", $"&amp;DEC2HEX(F5,2) &amp; " ; " &amp; RIGHT("     "&amp;A5,2) &amp; "  " &amp; G5</f>
        <v>                        DW  $49EB : DB $0A, $01, $FF ;  2  Bottom side 2</v>
      </c>
    </row>
    <row r="6" customFormat="false" ht="12.8" hidden="false" customHeight="false" outlineLevel="0" collapsed="false">
      <c r="A6" s="0" t="n">
        <f aca="false">A5+1</f>
        <v>3</v>
      </c>
      <c r="B6" s="1" t="n">
        <v>18474</v>
      </c>
      <c r="C6" s="1" t="str">
        <f aca="false">DEC2HEX(B6,4)</f>
        <v>482A</v>
      </c>
      <c r="D6" s="1" t="s">
        <v>11</v>
      </c>
      <c r="E6" s="1" t="n">
        <v>32</v>
      </c>
      <c r="F6" s="1" t="n">
        <v>1</v>
      </c>
      <c r="G6" s="2" t="s">
        <v>12</v>
      </c>
      <c r="H6" s="3" t="str">
        <f aca="false">"                        DW  $"&amp;C6&amp;" : DB $"&amp;DEC2HEX(D6,2)&amp;", $"&amp;DEC2HEX(E6, 2) &amp; ", $"&amp;DEC2HEX(F6,2) &amp; " ; " &amp; RIGHT("     "&amp;A6,2) &amp; "  " &amp; G6</f>
        <v>                        DW  $482A : DB $06, $20, $01 ;  3  Left side</v>
      </c>
    </row>
    <row r="7" customFormat="false" ht="12.8" hidden="false" customHeight="false" outlineLevel="0" collapsed="false">
      <c r="A7" s="0" t="n">
        <f aca="false">A6+1</f>
        <v>4</v>
      </c>
      <c r="B7" s="1" t="n">
        <f aca="false">B6+256</f>
        <v>18730</v>
      </c>
      <c r="C7" s="1" t="str">
        <f aca="false">DEC2HEX(B7,4)</f>
        <v>492A</v>
      </c>
      <c r="D7" s="1" t="s">
        <v>11</v>
      </c>
      <c r="E7" s="1" t="n">
        <v>32</v>
      </c>
      <c r="F7" s="1" t="n">
        <v>1</v>
      </c>
      <c r="H7" s="3" t="str">
        <f aca="false">"                        DW  $"&amp;C7&amp;" : DB $"&amp;DEC2HEX(D7,2)&amp;", $"&amp;DEC2HEX(E7, 2) &amp; ", $"&amp;DEC2HEX(F7,2) &amp; " ; " &amp; RIGHT("     "&amp;A7,2) &amp; "  " &amp; G7</f>
        <v>                        DW  $492A : DB $06, $20, $01 ;  4  </v>
      </c>
    </row>
    <row r="8" customFormat="false" ht="12.8" hidden="false" customHeight="false" outlineLevel="0" collapsed="false">
      <c r="A8" s="0" t="n">
        <f aca="false">A7+1</f>
        <v>5</v>
      </c>
      <c r="B8" s="1" t="n">
        <f aca="false">B7+256</f>
        <v>18986</v>
      </c>
      <c r="C8" s="1" t="str">
        <f aca="false">DEC2HEX(B8,4)</f>
        <v>4A2A</v>
      </c>
      <c r="D8" s="1" t="s">
        <v>11</v>
      </c>
      <c r="E8" s="1" t="n">
        <v>32</v>
      </c>
      <c r="F8" s="1" t="n">
        <v>1</v>
      </c>
      <c r="H8" s="3" t="str">
        <f aca="false">"                        DW  $"&amp;C8&amp;" : DB $"&amp;DEC2HEX(D8,2)&amp;", $"&amp;DEC2HEX(E8, 2) &amp; ", $"&amp;DEC2HEX(F8,2) &amp; " ; " &amp; RIGHT("     "&amp;A8,2) &amp; "  " &amp; G8</f>
        <v>                        DW  $4A2A : DB $06, $20, $01 ;  5  </v>
      </c>
    </row>
    <row r="9" customFormat="false" ht="12.8" hidden="false" customHeight="false" outlineLevel="0" collapsed="false">
      <c r="A9" s="0" t="n">
        <f aca="false">A8+1</f>
        <v>6</v>
      </c>
      <c r="B9" s="1" t="n">
        <f aca="false">B8+256</f>
        <v>19242</v>
      </c>
      <c r="C9" s="1" t="str">
        <f aca="false">DEC2HEX(B9,4)</f>
        <v>4B2A</v>
      </c>
      <c r="D9" s="1" t="s">
        <v>11</v>
      </c>
      <c r="E9" s="1" t="n">
        <v>32</v>
      </c>
      <c r="F9" s="1" t="n">
        <v>1</v>
      </c>
      <c r="H9" s="3" t="str">
        <f aca="false">"                        DW  $"&amp;C9&amp;" : DB $"&amp;DEC2HEX(D9,2)&amp;", $"&amp;DEC2HEX(E9, 2) &amp; ", $"&amp;DEC2HEX(F9,2) &amp; " ; " &amp; RIGHT("     "&amp;A9,2) &amp; "  " &amp; G9</f>
        <v>                        DW  $4B2A : DB $06, $20, $01 ;  6  </v>
      </c>
    </row>
    <row r="10" customFormat="false" ht="12.8" hidden="false" customHeight="false" outlineLevel="0" collapsed="false">
      <c r="A10" s="0" t="n">
        <f aca="false">A9+1</f>
        <v>7</v>
      </c>
      <c r="B10" s="1" t="n">
        <f aca="false">B9+256</f>
        <v>19498</v>
      </c>
      <c r="C10" s="1" t="str">
        <f aca="false">DEC2HEX(B10,4)</f>
        <v>4C2A</v>
      </c>
      <c r="D10" s="1" t="s">
        <v>11</v>
      </c>
      <c r="E10" s="1" t="n">
        <v>32</v>
      </c>
      <c r="F10" s="1" t="n">
        <v>1</v>
      </c>
      <c r="H10" s="3" t="str">
        <f aca="false">"                        DW  $"&amp;C10&amp;" : DB $"&amp;DEC2HEX(D10,2)&amp;", $"&amp;DEC2HEX(E10, 2) &amp; ", $"&amp;DEC2HEX(F10,2) &amp; " ; " &amp; RIGHT("     "&amp;A10,2) &amp; "  " &amp; G10</f>
        <v>                        DW  $4C2A : DB $06, $20, $01 ;  7  </v>
      </c>
    </row>
    <row r="11" customFormat="false" ht="12.8" hidden="false" customHeight="false" outlineLevel="0" collapsed="false">
      <c r="A11" s="0" t="n">
        <f aca="false">A10+1</f>
        <v>8</v>
      </c>
      <c r="B11" s="1" t="n">
        <f aca="false">B10+256</f>
        <v>19754</v>
      </c>
      <c r="C11" s="1" t="str">
        <f aca="false">DEC2HEX(B11,4)</f>
        <v>4D2A</v>
      </c>
      <c r="D11" s="1" t="s">
        <v>11</v>
      </c>
      <c r="E11" s="1" t="n">
        <v>32</v>
      </c>
      <c r="F11" s="1" t="n">
        <v>1</v>
      </c>
      <c r="H11" s="3" t="str">
        <f aca="false">"                        DW  $"&amp;C11&amp;" : DB $"&amp;DEC2HEX(D11,2)&amp;", $"&amp;DEC2HEX(E11, 2) &amp; ", $"&amp;DEC2HEX(F11,2) &amp; " ; " &amp; RIGHT("     "&amp;A11,2) &amp; "  " &amp; G11</f>
        <v>                        DW  $4D2A : DB $06, $20, $01 ;  8  </v>
      </c>
    </row>
    <row r="12" customFormat="false" ht="12.8" hidden="false" customHeight="false" outlineLevel="0" collapsed="false">
      <c r="A12" s="0" t="n">
        <f aca="false">A11+1</f>
        <v>9</v>
      </c>
      <c r="B12" s="1" t="n">
        <f aca="false">B11+256</f>
        <v>20010</v>
      </c>
      <c r="C12" s="1" t="str">
        <f aca="false">DEC2HEX(B12,4)</f>
        <v>4E2A</v>
      </c>
      <c r="D12" s="1" t="s">
        <v>11</v>
      </c>
      <c r="E12" s="1" t="n">
        <v>32</v>
      </c>
      <c r="F12" s="1" t="n">
        <v>1</v>
      </c>
      <c r="H12" s="3" t="str">
        <f aca="false">"                        DW  $"&amp;C12&amp;" : DB $"&amp;DEC2HEX(D12,2)&amp;", $"&amp;DEC2HEX(E12, 2) &amp; ", $"&amp;DEC2HEX(F12,2) &amp; " ; " &amp; RIGHT("     "&amp;A12,2) &amp; "  " &amp; G12</f>
        <v>                        DW  $4E2A : DB $06, $20, $01 ;  9  </v>
      </c>
    </row>
    <row r="13" customFormat="false" ht="12.8" hidden="false" customHeight="false" outlineLevel="0" collapsed="false">
      <c r="A13" s="0" t="n">
        <f aca="false">A12+1</f>
        <v>10</v>
      </c>
      <c r="B13" s="1" t="n">
        <f aca="false">B12+256</f>
        <v>20266</v>
      </c>
      <c r="C13" s="1" t="str">
        <f aca="false">DEC2HEX(B13,4)</f>
        <v>4F2A</v>
      </c>
      <c r="D13" s="1" t="s">
        <v>11</v>
      </c>
      <c r="E13" s="1" t="n">
        <v>32</v>
      </c>
      <c r="F13" s="1" t="n">
        <v>1</v>
      </c>
      <c r="H13" s="3" t="str">
        <f aca="false">"                        DW  $"&amp;C13&amp;" : DB $"&amp;DEC2HEX(D13,2)&amp;", $"&amp;DEC2HEX(E13, 2) &amp; ", $"&amp;DEC2HEX(F13,2) &amp; " ; " &amp; RIGHT("     "&amp;A13,2) &amp; "  " &amp; G13</f>
        <v>                        DW  $4F2A : DB $06, $20, $01 ; 10  </v>
      </c>
    </row>
    <row r="14" customFormat="false" ht="12.8" hidden="false" customHeight="false" outlineLevel="0" collapsed="false">
      <c r="A14" s="0" t="n">
        <f aca="false">A13+1</f>
        <v>11</v>
      </c>
      <c r="B14" s="1" t="n">
        <v>18485</v>
      </c>
      <c r="C14" s="1" t="str">
        <f aca="false">DEC2HEX(B14,4)</f>
        <v>4835</v>
      </c>
      <c r="D14" s="1" t="s">
        <v>11</v>
      </c>
      <c r="E14" s="1" t="n">
        <v>32</v>
      </c>
      <c r="F14" s="1" t="n">
        <v>192</v>
      </c>
      <c r="G14" s="2" t="s">
        <v>13</v>
      </c>
      <c r="H14" s="3" t="str">
        <f aca="false">"                        DW  $"&amp;C14&amp;" : DB $"&amp;DEC2HEX(D14,2)&amp;", $"&amp;DEC2HEX(E14, 2) &amp; ", $"&amp;DEC2HEX(F14,2) &amp; " ; " &amp; RIGHT("     "&amp;A14,2) &amp; "  " &amp; G14</f>
        <v>                        DW  $4835 : DB $06, $20, $C0 ; 11  Right side</v>
      </c>
    </row>
    <row r="15" customFormat="false" ht="12.8" hidden="false" customHeight="false" outlineLevel="0" collapsed="false">
      <c r="A15" s="0" t="n">
        <f aca="false">A14+1</f>
        <v>12</v>
      </c>
      <c r="B15" s="1" t="n">
        <f aca="false">B14+256</f>
        <v>18741</v>
      </c>
      <c r="C15" s="1" t="str">
        <f aca="false">DEC2HEX(B15,4)</f>
        <v>4935</v>
      </c>
      <c r="D15" s="1" t="s">
        <v>11</v>
      </c>
      <c r="E15" s="1" t="n">
        <v>32</v>
      </c>
      <c r="F15" s="1" t="n">
        <v>192</v>
      </c>
      <c r="H15" s="3" t="str">
        <f aca="false">"                        DW  $"&amp;C15&amp;" : DB $"&amp;DEC2HEX(D15,2)&amp;", $"&amp;DEC2HEX(E15, 2) &amp; ", $"&amp;DEC2HEX(F15,2) &amp; " ; " &amp; RIGHT("     "&amp;A15,2) &amp; "  " &amp; G15</f>
        <v>                        DW  $4935 : DB $06, $20, $C0 ; 12  </v>
      </c>
    </row>
    <row r="16" customFormat="false" ht="12.8" hidden="false" customHeight="false" outlineLevel="0" collapsed="false">
      <c r="A16" s="0" t="n">
        <f aca="false">A15+1</f>
        <v>13</v>
      </c>
      <c r="B16" s="1" t="n">
        <f aca="false">B15+256</f>
        <v>18997</v>
      </c>
      <c r="C16" s="1" t="str">
        <f aca="false">DEC2HEX(B16,4)</f>
        <v>4A35</v>
      </c>
      <c r="D16" s="1" t="s">
        <v>11</v>
      </c>
      <c r="E16" s="1" t="n">
        <v>32</v>
      </c>
      <c r="F16" s="1" t="n">
        <v>192</v>
      </c>
      <c r="H16" s="3" t="str">
        <f aca="false">"                        DW  $"&amp;C16&amp;" : DB $"&amp;DEC2HEX(D16,2)&amp;", $"&amp;DEC2HEX(E16, 2) &amp; ", $"&amp;DEC2HEX(F16,2) &amp; " ; " &amp; RIGHT("     "&amp;A16,2) &amp; "  " &amp; G16</f>
        <v>                        DW  $4A35 : DB $06, $20, $C0 ; 13  </v>
      </c>
    </row>
    <row r="17" customFormat="false" ht="12.8" hidden="false" customHeight="false" outlineLevel="0" collapsed="false">
      <c r="A17" s="0" t="n">
        <f aca="false">A16+1</f>
        <v>14</v>
      </c>
      <c r="B17" s="1" t="n">
        <f aca="false">B16+256</f>
        <v>19253</v>
      </c>
      <c r="C17" s="1" t="str">
        <f aca="false">DEC2HEX(B17,4)</f>
        <v>4B35</v>
      </c>
      <c r="D17" s="1" t="s">
        <v>11</v>
      </c>
      <c r="E17" s="1" t="n">
        <v>32</v>
      </c>
      <c r="F17" s="1" t="n">
        <v>192</v>
      </c>
      <c r="H17" s="3" t="str">
        <f aca="false">"                        DW  $"&amp;C17&amp;" : DB $"&amp;DEC2HEX(D17,2)&amp;", $"&amp;DEC2HEX(E17, 2) &amp; ", $"&amp;DEC2HEX(F17,2) &amp; " ; " &amp; RIGHT("     "&amp;A17,2) &amp; "  " &amp; G17</f>
        <v>                        DW  $4B35 : DB $06, $20, $C0 ; 14  </v>
      </c>
    </row>
    <row r="18" customFormat="false" ht="12.8" hidden="false" customHeight="false" outlineLevel="0" collapsed="false">
      <c r="A18" s="0" t="n">
        <f aca="false">A17+1</f>
        <v>15</v>
      </c>
      <c r="B18" s="1" t="n">
        <f aca="false">B17+256</f>
        <v>19509</v>
      </c>
      <c r="C18" s="1" t="str">
        <f aca="false">DEC2HEX(B18,4)</f>
        <v>4C35</v>
      </c>
      <c r="D18" s="1" t="s">
        <v>11</v>
      </c>
      <c r="E18" s="1" t="n">
        <v>32</v>
      </c>
      <c r="F18" s="1" t="n">
        <v>192</v>
      </c>
      <c r="H18" s="3" t="str">
        <f aca="false">"                        DW  $"&amp;C18&amp;" : DB $"&amp;DEC2HEX(D18,2)&amp;", $"&amp;DEC2HEX(E18, 2) &amp; ", $"&amp;DEC2HEX(F18,2) &amp; " ; " &amp; RIGHT("     "&amp;A18,2) &amp; "  " &amp; G18</f>
        <v>                        DW  $4C35 : DB $06, $20, $C0 ; 15  </v>
      </c>
    </row>
    <row r="19" customFormat="false" ht="12.8" hidden="false" customHeight="false" outlineLevel="0" collapsed="false">
      <c r="A19" s="0" t="n">
        <f aca="false">A18+1</f>
        <v>16</v>
      </c>
      <c r="B19" s="1" t="n">
        <f aca="false">B18+256</f>
        <v>19765</v>
      </c>
      <c r="C19" s="1" t="str">
        <f aca="false">DEC2HEX(B19,4)</f>
        <v>4D35</v>
      </c>
      <c r="D19" s="1" t="s">
        <v>11</v>
      </c>
      <c r="E19" s="1" t="n">
        <v>32</v>
      </c>
      <c r="F19" s="1" t="n">
        <v>192</v>
      </c>
      <c r="H19" s="3" t="str">
        <f aca="false">"                        DW  $"&amp;C19&amp;" : DB $"&amp;DEC2HEX(D19,2)&amp;", $"&amp;DEC2HEX(E19, 2) &amp; ", $"&amp;DEC2HEX(F19,2) &amp; " ; " &amp; RIGHT("     "&amp;A19,2) &amp; "  " &amp; G19</f>
        <v>                        DW  $4D35 : DB $06, $20, $C0 ; 16  </v>
      </c>
    </row>
    <row r="20" customFormat="false" ht="12.8" hidden="false" customHeight="false" outlineLevel="0" collapsed="false">
      <c r="A20" s="0" t="n">
        <f aca="false">A19+1</f>
        <v>17</v>
      </c>
      <c r="B20" s="1" t="n">
        <f aca="false">B19+256</f>
        <v>20021</v>
      </c>
      <c r="C20" s="1" t="str">
        <f aca="false">DEC2HEX(B20,4)</f>
        <v>4E35</v>
      </c>
      <c r="D20" s="1" t="s">
        <v>11</v>
      </c>
      <c r="E20" s="1" t="n">
        <v>32</v>
      </c>
      <c r="F20" s="1" t="n">
        <v>192</v>
      </c>
      <c r="H20" s="3" t="str">
        <f aca="false">"                        DW  $"&amp;C20&amp;" : DB $"&amp;DEC2HEX(D20,2)&amp;", $"&amp;DEC2HEX(E20, 2) &amp; ", $"&amp;DEC2HEX(F20,2) &amp; " ; " &amp; RIGHT("     "&amp;A20,2) &amp; "  " &amp; G20</f>
        <v>                        DW  $4E35 : DB $06, $20, $C0 ; 17  </v>
      </c>
    </row>
    <row r="21" customFormat="false" ht="12.8" hidden="false" customHeight="false" outlineLevel="0" collapsed="false">
      <c r="A21" s="0" t="n">
        <f aca="false">A20+1</f>
        <v>18</v>
      </c>
      <c r="B21" s="1" t="n">
        <f aca="false">B20+256</f>
        <v>20277</v>
      </c>
      <c r="C21" s="1" t="str">
        <f aca="false">DEC2HEX(B21,4)</f>
        <v>4F35</v>
      </c>
      <c r="D21" s="1" t="s">
        <v>11</v>
      </c>
      <c r="E21" s="1" t="n">
        <v>32</v>
      </c>
      <c r="F21" s="1" t="n">
        <v>192</v>
      </c>
      <c r="H21" s="3" t="str">
        <f aca="false">"                        DW  $"&amp;C21&amp;" : DB $"&amp;DEC2HEX(D21,2)&amp;", $"&amp;DEC2HEX(E21, 2) &amp; ", $"&amp;DEC2HEX(F21,2) &amp; " ; " &amp; RIGHT("     "&amp;A21,2) &amp; "  " &amp; G21</f>
        <v>                        DW  $4F35 : DB $06, $20, $C0 ; 18  </v>
      </c>
    </row>
    <row r="22" customFormat="false" ht="12.8" hidden="false" customHeight="false" outlineLevel="0" collapsed="false">
      <c r="A22" s="0" t="n">
        <f aca="false">A21+1</f>
        <v>19</v>
      </c>
      <c r="B22" s="1" t="n">
        <v>18666</v>
      </c>
      <c r="C22" s="1" t="str">
        <f aca="false">DEC2HEX(B22,4)</f>
        <v>48EA</v>
      </c>
      <c r="D22" s="1" t="n">
        <v>1</v>
      </c>
      <c r="E22" s="1" t="n">
        <v>0</v>
      </c>
      <c r="F22" s="1" t="n">
        <v>1</v>
      </c>
      <c r="G22" s="2" t="s">
        <v>14</v>
      </c>
      <c r="H22" s="3" t="str">
        <f aca="false">"                        DW  $"&amp;C22&amp;" : DB $"&amp;DEC2HEX(D22,2)&amp;", $"&amp;DEC2HEX(E22, 2) &amp; ", $"&amp;DEC2HEX(F22,2) &amp; " ; " &amp; RIGHT("     "&amp;A22,2) &amp; "  " &amp; G22</f>
        <v>                        DW  $48EA : DB $01, $00, $01 ; 19  Top left corner</v>
      </c>
    </row>
    <row r="23" customFormat="false" ht="12.8" hidden="false" customHeight="false" outlineLevel="0" collapsed="false">
      <c r="A23" s="0" t="n">
        <f aca="false">A22+1</f>
        <v>20</v>
      </c>
      <c r="B23" s="1" t="n">
        <v>20234</v>
      </c>
      <c r="C23" s="1" t="str">
        <f aca="false">DEC2HEX(B23,4)</f>
        <v>4F0A</v>
      </c>
      <c r="D23" s="1" t="n">
        <v>1</v>
      </c>
      <c r="E23" s="1" t="n">
        <v>0</v>
      </c>
      <c r="F23" s="1" t="n">
        <v>1</v>
      </c>
      <c r="G23" s="2" t="s">
        <v>15</v>
      </c>
      <c r="H23" s="3" t="str">
        <f aca="false">"                        DW  $"&amp;C23&amp;" : DB $"&amp;DEC2HEX(D23,2)&amp;", $"&amp;DEC2HEX(E23, 2) &amp; ", $"&amp;DEC2HEX(F23,2) &amp; " ; " &amp; RIGHT("     "&amp;A23,2) &amp; "  " &amp; G23</f>
        <v>                        DW  $4F0A : DB $01, $00, $01 ; 20  Bottom left corner</v>
      </c>
    </row>
    <row r="24" customFormat="false" ht="12.8" hidden="false" customHeight="false" outlineLevel="0" collapsed="false">
      <c r="A24" s="0" t="n">
        <f aca="false">A23+1</f>
        <v>21</v>
      </c>
      <c r="B24" s="1" t="n">
        <v>18677</v>
      </c>
      <c r="C24" s="1" t="str">
        <f aca="false">DEC2HEX(B24,4)</f>
        <v>48F5</v>
      </c>
      <c r="D24" s="1" t="n">
        <v>1</v>
      </c>
      <c r="E24" s="1" t="n">
        <v>0</v>
      </c>
      <c r="F24" s="1" t="n">
        <v>192</v>
      </c>
      <c r="G24" s="2" t="s">
        <v>16</v>
      </c>
      <c r="H24" s="3" t="str">
        <f aca="false">"                        DW  $"&amp;C24&amp;" : DB $"&amp;DEC2HEX(D24,2)&amp;", $"&amp;DEC2HEX(E24, 2) &amp; ", $"&amp;DEC2HEX(F24,2) &amp; " ; " &amp; RIGHT("     "&amp;A24,2) &amp; "  " &amp; G24</f>
        <v>                        DW  $48F5 : DB $01, $00, $C0 ; 21  Bottom right corner 1</v>
      </c>
    </row>
    <row r="25" customFormat="false" ht="12.8" hidden="false" customHeight="false" outlineLevel="0" collapsed="false">
      <c r="A25" s="0" t="n">
        <f aca="false">A24+1</f>
        <v>22</v>
      </c>
      <c r="B25" s="1" t="n">
        <v>18933</v>
      </c>
      <c r="C25" s="1" t="str">
        <f aca="false">DEC2HEX(B25,4)</f>
        <v>49F5</v>
      </c>
      <c r="D25" s="1" t="n">
        <v>1</v>
      </c>
      <c r="E25" s="1" t="n">
        <v>0</v>
      </c>
      <c r="F25" s="1" t="n">
        <v>192</v>
      </c>
      <c r="G25" s="2" t="s">
        <v>17</v>
      </c>
      <c r="H25" s="3" t="str">
        <f aca="false">"                        DW  $"&amp;C25&amp;" : DB $"&amp;DEC2HEX(D25,2)&amp;", $"&amp;DEC2HEX(E25, 2) &amp; ", $"&amp;DEC2HEX(F25,2) &amp; " ; " &amp; RIGHT("     "&amp;A25,2) &amp; "  " &amp; G25</f>
        <v>                        DW  $49F5 : DB $01, $00, $C0 ; 22  Bottom right corner 2</v>
      </c>
    </row>
    <row r="26" customFormat="false" ht="12.8" hidden="false" customHeight="false" outlineLevel="0" collapsed="false">
      <c r="A26" s="0" t="n">
        <f aca="false">A25+1</f>
        <v>23</v>
      </c>
      <c r="B26" s="1" t="n">
        <v>20245</v>
      </c>
      <c r="C26" s="1" t="str">
        <f aca="false">DEC2HEX(B26,4)</f>
        <v>4F15</v>
      </c>
      <c r="D26" s="1" t="n">
        <v>1</v>
      </c>
      <c r="E26" s="1" t="n">
        <v>0</v>
      </c>
      <c r="F26" s="1" t="n">
        <v>128</v>
      </c>
      <c r="G26" s="2" t="s">
        <v>18</v>
      </c>
      <c r="H26" s="3" t="str">
        <f aca="false">"                        DW  $"&amp;C26&amp;" : DB $"&amp;DEC2HEX(D26,2)&amp;", $"&amp;DEC2HEX(E26, 2) &amp; ", $"&amp;DEC2HEX(F26,2) &amp; " ; " &amp; RIGHT("     "&amp;A26,2) &amp; "  " &amp; G26</f>
        <v>                        DW  $4F15 : DB $01, $00, $80 ; 23  Top right corner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103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2025-11-17T11:24:36Z</dcterms:created>
  <dc:creator/>
  <dc:description/>
  <dc:language>en-US</dc:language>
  <cp:lastModifiedBy/>
  <dcterms:modified xsi:type="dcterms:W3CDTF">2025-11-17T19:13:07Z</dcterms:modified>
  <cp:revision>5</cp:revision>
  <dc:subject/>
  <dc:title/>
</cp:coreProperties>
</file>